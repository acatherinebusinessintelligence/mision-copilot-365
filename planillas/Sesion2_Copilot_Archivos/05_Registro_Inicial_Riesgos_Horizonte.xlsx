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221F43"/>
      <sz val="16"/>
    </font>
  </fonts>
  <fills count="3">
    <fill>
      <patternFill/>
    </fill>
    <fill>
      <patternFill patternType="gray125"/>
    </fill>
    <fill>
      <patternFill patternType="solid">
        <fgColor rgb="00221F43"/>
      </patternFill>
    </fill>
  </fills>
  <borders count="2">
    <border>
      <left/>
      <right/>
      <top/>
      <bottom/>
      <diagonal/>
    </border>
    <border>
      <left style="thin">
        <color rgb="00B9C3D8"/>
      </left>
      <right style="thin">
        <color rgb="00B9C3D8"/>
      </right>
      <top style="thin">
        <color rgb="00B9C3D8"/>
      </top>
      <bottom style="thin">
        <color rgb="00B9C3D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Riesgos por nivel</a:t>
            </a:r>
          </a:p>
        </rich>
      </tx>
    </title>
    <plotArea>
      <pieChart>
        <varyColors val="1"/>
        <ser>
          <idx val="0"/>
          <order val="0"/>
          <tx>
            <strRef>
              <f>'Resumen'!B3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'Resumen'!$A$4:$A$5</f>
            </numRef>
          </cat>
          <val>
            <numRef>
              <f>'Resumen'!$B$4:$B$5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iesgos" displayName="tblRiesgos" ref="A1:O9" headerRowCount="1">
  <autoFilter ref="A1:O9"/>
  <tableColumns count="15">
    <tableColumn id="1" name="ID"/>
    <tableColumn id="2" name="Riesgo"/>
    <tableColumn id="3" name="Categoria"/>
    <tableColumn id="4" name="Fuente"/>
    <tableColumn id="5" name="Causa"/>
    <tableColumn id="6" name="Consecuencia"/>
    <tableColumn id="7" name="Probabilidad"/>
    <tableColumn id="8" name="Impacto"/>
    <tableColumn id="9" name="Nivel"/>
    <tableColumn id="10" name="Control existente"/>
    <tableColumn id="11" name="Accion sugerida"/>
    <tableColumn id="12" name="Responsable rol"/>
    <tableColumn id="13" name="Senal de alerta"/>
    <tableColumn id="14" name="Estado"/>
    <tableColumn id="15" name="Validacion reque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6" customWidth="1" min="3" max="3"/>
    <col width="22" customWidth="1" min="4" max="4"/>
    <col width="32" customWidth="1" min="5" max="5"/>
    <col width="32" customWidth="1" min="6" max="6"/>
    <col width="14" customWidth="1" min="7" max="7"/>
    <col width="12" customWidth="1" min="8" max="8"/>
    <col width="12" customWidth="1" min="9" max="9"/>
    <col width="26" customWidth="1" min="10" max="10"/>
    <col width="34" customWidth="1" min="11" max="11"/>
    <col width="22" customWidth="1" min="12" max="12"/>
    <col width="26" customWidth="1" min="13" max="13"/>
    <col width="14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Riesgo</t>
        </is>
      </c>
      <c r="C1" s="1" t="inlineStr">
        <is>
          <t>Categoria</t>
        </is>
      </c>
      <c r="D1" s="1" t="inlineStr">
        <is>
          <t>Fuente</t>
        </is>
      </c>
      <c r="E1" s="1" t="inlineStr">
        <is>
          <t>Causa</t>
        </is>
      </c>
      <c r="F1" s="1" t="inlineStr">
        <is>
          <t>Consecuencia</t>
        </is>
      </c>
      <c r="G1" s="1" t="inlineStr">
        <is>
          <t>Probabilidad</t>
        </is>
      </c>
      <c r="H1" s="1" t="inlineStr">
        <is>
          <t>Impacto</t>
        </is>
      </c>
      <c r="I1" s="1" t="inlineStr">
        <is>
          <t>Nivel</t>
        </is>
      </c>
      <c r="J1" s="1" t="inlineStr">
        <is>
          <t>Control existente</t>
        </is>
      </c>
      <c r="K1" s="1" t="inlineStr">
        <is>
          <t>Accion sugerida</t>
        </is>
      </c>
      <c r="L1" s="1" t="inlineStr">
        <is>
          <t>Responsable rol</t>
        </is>
      </c>
      <c r="M1" s="1" t="inlineStr">
        <is>
          <t>Senal de alerta</t>
        </is>
      </c>
      <c r="N1" s="1" t="inlineStr">
        <is>
          <t>Estado</t>
        </is>
      </c>
      <c r="O1" s="1" t="inlineStr">
        <is>
          <t>Validacion requerida</t>
        </is>
      </c>
    </row>
    <row r="2">
      <c r="A2" s="2" t="inlineStr">
        <is>
          <t>R-001</t>
        </is>
      </c>
      <c r="B2" s="2" t="inlineStr">
        <is>
          <t>Retraso en disponibilidad de equipos criticos</t>
        </is>
      </c>
      <c r="C2" s="2" t="inlineStr">
        <is>
          <t>Cronograma</t>
        </is>
      </c>
      <c r="D2" s="2" t="inlineStr">
        <is>
          <t>Alcance y reunion</t>
        </is>
      </c>
      <c r="E2" s="2" t="inlineStr">
        <is>
          <t>Dependencia de proveedor especializado</t>
        </is>
      </c>
      <c r="F2" s="2" t="inlineStr">
        <is>
          <t>Desplazamiento de actividades de montaje</t>
        </is>
      </c>
      <c r="G2" s="2" t="inlineStr">
        <is>
          <t>Alta</t>
        </is>
      </c>
      <c r="H2" s="2" t="inlineStr">
        <is>
          <t>Alta</t>
        </is>
      </c>
      <c r="I2" s="2">
        <f>IF(OR(G2="Alta",H2="Alta"),"Alto",IF(AND(G2="Media",H2="Media"),"Medio","Bajo"))</f>
        <v/>
      </c>
      <c r="J2" s="2" t="inlineStr">
        <is>
          <t>Seguimiento de compras</t>
        </is>
      </c>
      <c r="K2" s="2" t="inlineStr">
        <is>
          <t>Solicitar confirmacion temprana de disponibilidad</t>
        </is>
      </c>
      <c r="L2" s="2" t="inlineStr">
        <is>
          <t>Abastecimiento</t>
        </is>
      </c>
      <c r="M2" s="2" t="inlineStr">
        <is>
          <t>Proveedor no confirma fecha</t>
        </is>
      </c>
      <c r="N2" s="2" t="inlineStr">
        <is>
          <t>Abierto</t>
        </is>
      </c>
      <c r="O2" s="2" t="inlineStr">
        <is>
          <t>Si</t>
        </is>
      </c>
    </row>
    <row r="3">
      <c r="A3" s="2" t="inlineStr">
        <is>
          <t>R-002</t>
        </is>
      </c>
      <c r="B3" s="2" t="inlineStr">
        <is>
          <t>Presupuesto insuficiente para alcance final</t>
        </is>
      </c>
      <c r="C3" s="2" t="inlineStr">
        <is>
          <t>Financiero</t>
        </is>
      </c>
      <c r="D3" s="2" t="inlineStr">
        <is>
          <t>Presupuesto</t>
        </is>
      </c>
      <c r="E3" s="2" t="inlineStr">
        <is>
          <t>Costos definitivos no validados</t>
        </is>
      </c>
      <c r="F3" s="2" t="inlineStr">
        <is>
          <t>Solicitud de recursos adicionales</t>
        </is>
      </c>
      <c r="G3" s="2" t="inlineStr">
        <is>
          <t>Media</t>
        </is>
      </c>
      <c r="H3" s="2" t="inlineStr">
        <is>
          <t>Alta</t>
        </is>
      </c>
      <c r="I3" s="2">
        <f>IF(OR(G3="Alta",H3="Alta"),"Alto",IF(AND(G3="Media",H3="Media"),"Medio","Bajo"))</f>
        <v/>
      </c>
      <c r="J3" s="2" t="inlineStr">
        <is>
          <t>Reserva preliminar</t>
        </is>
      </c>
      <c r="K3" s="2" t="inlineStr">
        <is>
          <t>Validar partidas de mayor costo y soportes</t>
        </is>
      </c>
      <c r="L3" s="2" t="inlineStr">
        <is>
          <t>Finanzas</t>
        </is>
      </c>
      <c r="M3" s="2" t="inlineStr">
        <is>
          <t>Variacion superior al 10%</t>
        </is>
      </c>
      <c r="N3" s="2" t="inlineStr">
        <is>
          <t>Abierto</t>
        </is>
      </c>
      <c r="O3" s="2" t="inlineStr">
        <is>
          <t>Si</t>
        </is>
      </c>
    </row>
    <row r="4">
      <c r="A4" s="2" t="inlineStr">
        <is>
          <t>R-003</t>
        </is>
      </c>
      <c r="B4" s="2" t="inlineStr">
        <is>
          <t>Ventanas de intervencion no autorizadas</t>
        </is>
      </c>
      <c r="C4" s="2" t="inlineStr">
        <is>
          <t>Operativo</t>
        </is>
      </c>
      <c r="D4" s="2" t="inlineStr">
        <is>
          <t>Reunion</t>
        </is>
      </c>
      <c r="E4" s="2" t="inlineStr">
        <is>
          <t>Falta de confirmacion de Operacion</t>
        </is>
      </c>
      <c r="F4" s="2" t="inlineStr">
        <is>
          <t>Reprogramaciones y conflictos operativos</t>
        </is>
      </c>
      <c r="G4" s="2" t="inlineStr">
        <is>
          <t>Media</t>
        </is>
      </c>
      <c r="H4" s="2" t="inlineStr">
        <is>
          <t>Alta</t>
        </is>
      </c>
      <c r="I4" s="2">
        <f>IF(OR(G4="Alta",H4="Alta"),"Alto",IF(AND(G4="Media",H4="Media"),"Medio","Bajo"))</f>
        <v/>
      </c>
      <c r="J4" s="2" t="inlineStr">
        <is>
          <t>Pendiente</t>
        </is>
      </c>
      <c r="K4" s="2" t="inlineStr">
        <is>
          <t>Definir tres escenarios de ventana</t>
        </is>
      </c>
      <c r="L4" s="2" t="inlineStr">
        <is>
          <t>Operacion</t>
        </is>
      </c>
      <c r="M4" s="2" t="inlineStr">
        <is>
          <t>Sin respuesta a fecha limite</t>
        </is>
      </c>
      <c r="N4" s="2" t="inlineStr">
        <is>
          <t>Abierto</t>
        </is>
      </c>
      <c r="O4" s="2" t="inlineStr">
        <is>
          <t>Si</t>
        </is>
      </c>
    </row>
    <row r="5">
      <c r="A5" s="2" t="inlineStr">
        <is>
          <t>R-004</t>
        </is>
      </c>
      <c r="B5" s="2" t="inlineStr">
        <is>
          <t>Comunicacion prematura a comunidad</t>
        </is>
      </c>
      <c r="C5" s="2" t="inlineStr">
        <is>
          <t>Reputacional</t>
        </is>
      </c>
      <c r="D5" s="2" t="inlineStr">
        <is>
          <t>Reunion y comentarios</t>
        </is>
      </c>
      <c r="E5" s="2" t="inlineStr">
        <is>
          <t>Mensaje enviado antes de aprobar fechas</t>
        </is>
      </c>
      <c r="F5" s="2" t="inlineStr">
        <is>
          <t>Confusion, reclamos y perdida de confianza</t>
        </is>
      </c>
      <c r="G5" s="2" t="inlineStr">
        <is>
          <t>Media</t>
        </is>
      </c>
      <c r="H5" s="2" t="inlineStr">
        <is>
          <t>Media</t>
        </is>
      </c>
      <c r="I5" s="2">
        <f>IF(OR(G5="Alta",H5="Alta"),"Alto",IF(AND(G5="Media",H5="Media"),"Medio","Bajo"))</f>
        <v/>
      </c>
      <c r="J5" s="2" t="inlineStr">
        <is>
          <t>Borrador no emitible</t>
        </is>
      </c>
      <c r="K5" s="2" t="inlineStr">
        <is>
          <t>Aprobar mensaje solo con fechas validadas</t>
        </is>
      </c>
      <c r="L5" s="2" t="inlineStr">
        <is>
          <t>Comunicaciones</t>
        </is>
      </c>
      <c r="M5" s="2" t="inlineStr">
        <is>
          <t>Solicitud de piezas antes de fechas</t>
        </is>
      </c>
      <c r="N5" s="2" t="inlineStr">
        <is>
          <t>Abierto</t>
        </is>
      </c>
      <c r="O5" s="2" t="inlineStr">
        <is>
          <t>Si</t>
        </is>
      </c>
    </row>
    <row r="6">
      <c r="A6" s="2" t="inlineStr">
        <is>
          <t>R-005</t>
        </is>
      </c>
      <c r="B6" s="2" t="inlineStr">
        <is>
          <t>Permisos SST incompletos</t>
        </is>
      </c>
      <c r="C6" s="2" t="inlineStr">
        <is>
          <t>Seguridad</t>
        </is>
      </c>
      <c r="D6" s="2" t="inlineStr">
        <is>
          <t>Alcance y reunion</t>
        </is>
      </c>
      <c r="E6" s="2" t="inlineStr">
        <is>
          <t>Falta de validacion de condiciones de campo</t>
        </is>
      </c>
      <c r="F6" s="2" t="inlineStr">
        <is>
          <t>Suspension de actividades o incidentes</t>
        </is>
      </c>
      <c r="G6" s="2" t="inlineStr">
        <is>
          <t>Media</t>
        </is>
      </c>
      <c r="H6" s="2" t="inlineStr">
        <is>
          <t>Alta</t>
        </is>
      </c>
      <c r="I6" s="2">
        <f>IF(OR(G6="Alta",H6="Alta"),"Alto",IF(AND(G6="Media",H6="Media"),"Medio","Bajo"))</f>
        <v/>
      </c>
      <c r="J6" s="2" t="inlineStr">
        <is>
          <t>Revision requerida</t>
        </is>
      </c>
      <c r="K6" s="2" t="inlineStr">
        <is>
          <t>Incluir hito de validacion SST previo</t>
        </is>
      </c>
      <c r="L6" s="2" t="inlineStr">
        <is>
          <t>SST</t>
        </is>
      </c>
      <c r="M6" s="2" t="inlineStr">
        <is>
          <t>Visita programada sin permisos</t>
        </is>
      </c>
      <c r="N6" s="2" t="inlineStr">
        <is>
          <t>Abierto</t>
        </is>
      </c>
      <c r="O6" s="2" t="inlineStr">
        <is>
          <t>Si</t>
        </is>
      </c>
    </row>
    <row r="7">
      <c r="A7" s="2" t="inlineStr">
        <is>
          <t>R-006</t>
        </is>
      </c>
      <c r="B7" s="2" t="inlineStr">
        <is>
          <t>Manejo ambiental insuficiente</t>
        </is>
      </c>
      <c r="C7" s="2" t="inlineStr">
        <is>
          <t>Ambiental</t>
        </is>
      </c>
      <c r="D7" s="2" t="inlineStr">
        <is>
          <t>Alcance</t>
        </is>
      </c>
      <c r="E7" s="2" t="inlineStr">
        <is>
          <t>Manejo de residuos no detallado</t>
        </is>
      </c>
      <c r="F7" s="2" t="inlineStr">
        <is>
          <t>Observaciones ambientales y reprocesos</t>
        </is>
      </c>
      <c r="G7" s="2" t="inlineStr">
        <is>
          <t>Baja</t>
        </is>
      </c>
      <c r="H7" s="2" t="inlineStr">
        <is>
          <t>Media</t>
        </is>
      </c>
      <c r="I7" s="2">
        <f>IF(OR(G7="Alta",H7="Alta"),"Alto",IF(AND(G7="Media",H7="Media"),"Medio","Bajo"))</f>
        <v/>
      </c>
      <c r="J7" s="2" t="inlineStr">
        <is>
          <t>Gestion ambiental prevista</t>
        </is>
      </c>
      <c r="K7" s="2" t="inlineStr">
        <is>
          <t>Detallar plan de residuos y evidencias</t>
        </is>
      </c>
      <c r="L7" s="2" t="inlineStr">
        <is>
          <t>Ambiental</t>
        </is>
      </c>
      <c r="M7" s="2" t="inlineStr">
        <is>
          <t>Sin responsable ambiental</t>
        </is>
      </c>
      <c r="N7" s="2" t="inlineStr">
        <is>
          <t>Abierto</t>
        </is>
      </c>
      <c r="O7" s="2" t="inlineStr">
        <is>
          <t>Si</t>
        </is>
      </c>
    </row>
    <row r="8">
      <c r="A8" s="2" t="inlineStr">
        <is>
          <t>R-007</t>
        </is>
      </c>
      <c r="B8" s="2" t="inlineStr">
        <is>
          <t>Contratista sin disponibilidad en fechas requeridas</t>
        </is>
      </c>
      <c r="C8" s="2" t="inlineStr">
        <is>
          <t>Contractual</t>
        </is>
      </c>
      <c r="D8" s="2" t="inlineStr">
        <is>
          <t>Alcance</t>
        </is>
      </c>
      <c r="E8" s="2" t="inlineStr">
        <is>
          <t>Capacidad parcial en segundo trimestre</t>
        </is>
      </c>
      <c r="F8" s="2" t="inlineStr">
        <is>
          <t>Reasignacion o sobrecostos</t>
        </is>
      </c>
      <c r="G8" s="2" t="inlineStr">
        <is>
          <t>Media</t>
        </is>
      </c>
      <c r="H8" s="2" t="inlineStr">
        <is>
          <t>Media</t>
        </is>
      </c>
      <c r="I8" s="2">
        <f>IF(OR(G8="Alta",H8="Alta"),"Alto",IF(AND(G8="Media",H8="Media"),"Medio","Bajo"))</f>
        <v/>
      </c>
      <c r="J8" s="2" t="inlineStr">
        <is>
          <t>Supuesto de disponibilidad parcial</t>
        </is>
      </c>
      <c r="K8" s="2" t="inlineStr">
        <is>
          <t>Validar agenda y condiciones contractuales</t>
        </is>
      </c>
      <c r="L8" s="2" t="inlineStr">
        <is>
          <t>Contratacion</t>
        </is>
      </c>
      <c r="M8" s="2" t="inlineStr">
        <is>
          <t>Proveedor propone fechas posteriores</t>
        </is>
      </c>
      <c r="N8" s="2" t="inlineStr">
        <is>
          <t>Abierto</t>
        </is>
      </c>
      <c r="O8" s="2" t="inlineStr">
        <is>
          <t>Si</t>
        </is>
      </c>
    </row>
    <row r="9">
      <c r="A9" s="2" t="inlineStr">
        <is>
          <t>R-008</t>
        </is>
      </c>
      <c r="B9" s="2" t="inlineStr">
        <is>
          <t>Informacion tecnica incompleta</t>
        </is>
      </c>
      <c r="C9" s="2" t="inlineStr">
        <is>
          <t>Tecnico</t>
        </is>
      </c>
      <c r="D9" s="2" t="inlineStr">
        <is>
          <t>Alcance</t>
        </is>
      </c>
      <c r="E9" s="2" t="inlineStr">
        <is>
          <t>Inventario y mediciones no consolidadas</t>
        </is>
      </c>
      <c r="F9" s="2" t="inlineStr">
        <is>
          <t>Diseno incorrecto o cambios de alcance</t>
        </is>
      </c>
      <c r="G9" s="2" t="inlineStr">
        <is>
          <t>Alta</t>
        </is>
      </c>
      <c r="H9" s="2" t="inlineStr">
        <is>
          <t>Alta</t>
        </is>
      </c>
      <c r="I9" s="2">
        <f>IF(OR(G9="Alta",H9="Alta"),"Alto",IF(AND(G9="Media",H9="Media"),"Medio","Bajo"))</f>
        <v/>
      </c>
      <c r="J9" s="2" t="inlineStr">
        <is>
          <t>Diagnostico previsto</t>
        </is>
      </c>
      <c r="K9" s="2" t="inlineStr">
        <is>
          <t>Completar inventario antes de decisiones</t>
        </is>
      </c>
      <c r="L9" s="2" t="inlineStr">
        <is>
          <t>Ingenieria</t>
        </is>
      </c>
      <c r="M9" s="2" t="inlineStr">
        <is>
          <t>Diferencias entre inventario y campo</t>
        </is>
      </c>
      <c r="N9" s="2" t="inlineStr">
        <is>
          <t>Abierto</t>
        </is>
      </c>
      <c r="O9" s="2" t="inlineStr">
        <is>
          <t>Si</t>
        </is>
      </c>
    </row>
  </sheetData>
  <conditionalFormatting sqref="I2:I9">
    <cfRule type="expression" priority="1" dxfId="0">
      <formula>I2="Alto"</formula>
    </cfRule>
    <cfRule type="expression" priority="2" dxfId="1">
      <formula>I2="Medio"</formula>
    </cfRule>
    <cfRule type="expression" priority="3" dxfId="2">
      <formula>I2="Bajo"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Resumen de riesgos</t>
        </is>
      </c>
      <c r="B1" s="1" t="n"/>
    </row>
    <row r="2">
      <c r="A2" s="2" t="n"/>
      <c r="B2" s="2" t="n"/>
    </row>
    <row r="3">
      <c r="A3" s="2" t="inlineStr">
        <is>
          <t>Nivel</t>
        </is>
      </c>
      <c r="B3" s="2" t="inlineStr">
        <is>
          <t>Cantidad</t>
        </is>
      </c>
    </row>
    <row r="4">
      <c r="A4" s="2" t="inlineStr">
        <is>
          <t>Alto</t>
        </is>
      </c>
      <c r="B4" s="2">
        <f>COUNTIF(Riesgos!I2:I9,"Alto")</f>
        <v/>
      </c>
    </row>
    <row r="5">
      <c r="A5" s="2" t="inlineStr">
        <is>
          <t>Medio</t>
        </is>
      </c>
      <c r="B5" s="2">
        <f>COUNTIF(Riesgos!I2:I9,"Medio")</f>
        <v/>
      </c>
    </row>
    <row r="6">
      <c r="A6" s="2" t="inlineStr">
        <is>
          <t>Bajo</t>
        </is>
      </c>
      <c r="B6" s="2">
        <f>COUNTIF(Riesgos!I2:I9,"Bajo")</f>
        <v/>
      </c>
    </row>
    <row r="7">
      <c r="A7" s="2" t="n"/>
      <c r="B7" s="2" t="n"/>
    </row>
    <row r="8">
      <c r="A8" s="2" t="inlineStr">
        <is>
          <t>Categoria</t>
        </is>
      </c>
      <c r="B8" s="2" t="inlineStr">
        <is>
          <t>Cantidad</t>
        </is>
      </c>
    </row>
    <row r="9">
      <c r="A9" s="2" t="inlineStr">
        <is>
          <t>Tecnico</t>
        </is>
      </c>
      <c r="B9" s="2">
        <f>COUNTIF(Riesgos!C2:C9,"Tecnico")</f>
        <v/>
      </c>
    </row>
    <row r="10">
      <c r="A10" s="2" t="inlineStr">
        <is>
          <t>Operativo</t>
        </is>
      </c>
      <c r="B10" s="2">
        <f>COUNTIF(Riesgos!C2:C9,"Operativo")</f>
        <v/>
      </c>
    </row>
    <row r="11">
      <c r="A11" s="2" t="inlineStr">
        <is>
          <t>Seguridad</t>
        </is>
      </c>
      <c r="B11" s="2">
        <f>COUNTIF(Riesgos!C2:C9,"Seguridad")</f>
        <v/>
      </c>
    </row>
    <row r="12">
      <c r="A12" s="2" t="inlineStr">
        <is>
          <t>Ambiental</t>
        </is>
      </c>
      <c r="B12" s="2">
        <f>COUNTIF(Riesgos!C2:C9,"Ambiental")</f>
        <v/>
      </c>
    </row>
    <row r="13">
      <c r="A13" s="2" t="inlineStr">
        <is>
          <t>Social</t>
        </is>
      </c>
      <c r="B13" s="2">
        <f>COUNTIF(Riesgos!C2:C9,"Social")</f>
        <v/>
      </c>
    </row>
    <row r="14">
      <c r="A14" s="2" t="inlineStr">
        <is>
          <t>Contractual</t>
        </is>
      </c>
      <c r="B14" s="2">
        <f>COUNTIF(Riesgos!C2:C9,"Contractual")</f>
        <v/>
      </c>
    </row>
    <row r="15">
      <c r="A15" s="2" t="inlineStr">
        <is>
          <t>Financiero</t>
        </is>
      </c>
      <c r="B15" s="2">
        <f>COUNTIF(Riesgos!C2:C9,"Financiero")</f>
        <v/>
      </c>
    </row>
    <row r="16">
      <c r="A16" s="2" t="inlineStr">
        <is>
          <t>Regulatorio</t>
        </is>
      </c>
      <c r="B16" s="2">
        <f>COUNTIF(Riesgos!C2:C9,"Regulatorio")</f>
        <v/>
      </c>
    </row>
    <row r="17">
      <c r="A17" s="2" t="inlineStr">
        <is>
          <t>Reputacional</t>
        </is>
      </c>
      <c r="B17" s="2">
        <f>COUNTIF(Riesgos!C2:C9,"Reputacional")</f>
        <v/>
      </c>
    </row>
    <row r="18">
      <c r="A18" s="2" t="inlineStr">
        <is>
          <t>Cronograma</t>
        </is>
      </c>
      <c r="B18" s="2">
        <f>COUNTIF(Riesgos!C2:C9,"Cronograma")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2026-08-05T02:39:51Z</dcterms:created>
  <dcterms:modified xmlns:dcterms="http://purl.org/dc/terms/" xmlns:xsi="http://www.w3.org/2001/XMLSchema-instance" xsi:type="dcterms:W3CDTF">2026-08-05T02:39:51Z</dcterms:modified>
</cp:coreProperties>
</file>