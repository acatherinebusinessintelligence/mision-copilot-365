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OP&quot; #,##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21F43"/>
      <sz val="16"/>
    </font>
  </fonts>
  <fills count="4">
    <fill>
      <patternFill/>
    </fill>
    <fill>
      <patternFill patternType="gray125"/>
    </fill>
    <fill>
      <patternFill patternType="solid">
        <fgColor rgb="00394890"/>
      </patternFill>
    </fill>
    <fill>
      <patternFill patternType="solid">
        <fgColor rgb="00221F43"/>
      </patternFill>
    </fill>
  </fills>
  <borders count="2">
    <border>
      <left/>
      <right/>
      <top/>
      <bottom/>
      <diagonal/>
    </border>
    <border>
      <left style="thin">
        <color rgb="00B9C3D8"/>
      </left>
      <right style="thin">
        <color rgb="00B9C3D8"/>
      </right>
      <top style="thin">
        <color rgb="00B9C3D8"/>
      </top>
      <bottom style="thin">
        <color rgb="00B9C3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'Resumen'!$A$10:$A$18</f>
            </numRef>
          </cat>
          <val>
            <numRef>
              <f>'Resumen'!$B$10:$B$18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esupuesto" displayName="tblPresupuesto" ref="A1:L12" headerRowCount="1">
  <autoFilter ref="A1:L12"/>
  <tableColumns count="12">
    <tableColumn id="1" name="ID"/>
    <tableColumn id="2" name="Categoria"/>
    <tableColumn id="3" name="Partida"/>
    <tableColumn id="4" name="Descripcion"/>
    <tableColumn id="5" name="Cantidad"/>
    <tableColumn id="6" name="Unidad"/>
    <tableColumn id="7" name="Costo unitario"/>
    <tableColumn id="8" name="Costo total"/>
    <tableColumn id="9" name="Tipo costo"/>
    <tableColumn id="10" name="Criticidad"/>
    <tableColumn id="11" name="Validacion requerida"/>
    <tableColumn id="12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ronograma" displayName="tblCronograma" ref="A1:K10" headerRowCount="1">
  <autoFilter ref="A1:K10"/>
  <tableColumns count="11">
    <tableColumn id="1" name="ID"/>
    <tableColumn id="2" name="Fase"/>
    <tableColumn id="3" name="Actividad"/>
    <tableColumn id="4" name="Inicio estimado"/>
    <tableColumn id="5" name="Fin estimado"/>
    <tableColumn id="6" name="Duracion dias"/>
    <tableColumn id="7" name="Dependencia"/>
    <tableColumn id="8" name="Responsable rol"/>
    <tableColumn id="9" name="Estado"/>
    <tableColumn id="10" name="Criticidad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8" customWidth="1" min="4" max="4"/>
    <col width="11" customWidth="1" min="5" max="5"/>
    <col width="12" customWidth="1" min="6" max="6"/>
    <col width="16" customWidth="1" min="7" max="7"/>
    <col width="16" customWidth="1" min="8" max="8"/>
    <col width="14" customWidth="1" min="9" max="9"/>
    <col width="12" customWidth="1" min="10" max="10"/>
    <col width="20" customWidth="1" min="11" max="11"/>
    <col width="32" customWidth="1" min="12" max="12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Partida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Costo unitario</t>
        </is>
      </c>
      <c r="H1" s="1" t="inlineStr">
        <is>
          <t>Costo total</t>
        </is>
      </c>
      <c r="I1" s="1" t="inlineStr">
        <is>
          <t>Tipo costo</t>
        </is>
      </c>
      <c r="J1" s="1" t="inlineStr">
        <is>
          <t>Criticidad</t>
        </is>
      </c>
      <c r="K1" s="1" t="inlineStr">
        <is>
          <t>Validacion requerida</t>
        </is>
      </c>
      <c r="L1" s="1" t="inlineStr">
        <is>
          <t>Observacion</t>
        </is>
      </c>
    </row>
    <row r="2">
      <c r="A2" s="2" t="inlineStr">
        <is>
          <t>P-001</t>
        </is>
      </c>
      <c r="B2" s="2" t="inlineStr">
        <is>
          <t>Diagnostico</t>
        </is>
      </c>
      <c r="C2" s="2" t="inlineStr">
        <is>
          <t>Levantamiento tecnico</t>
        </is>
      </c>
      <c r="D2" s="2" t="inlineStr">
        <is>
          <t>Visitas, mediciones y validacion documental</t>
        </is>
      </c>
      <c r="E2" s="2" t="n">
        <v>12</v>
      </c>
      <c r="F2" s="2" t="inlineStr">
        <is>
          <t>jornada</t>
        </is>
      </c>
      <c r="G2" s="3" t="n">
        <v>3500000</v>
      </c>
      <c r="H2" s="3">
        <f>E2*G2</f>
        <v/>
      </c>
      <c r="I2" s="2" t="inlineStr">
        <is>
          <t>Servicio</t>
        </is>
      </c>
      <c r="J2" s="2" t="inlineStr">
        <is>
          <t>Alta</t>
        </is>
      </c>
      <c r="K2" s="2" t="inlineStr">
        <is>
          <t>No</t>
        </is>
      </c>
      <c r="L2" s="2" t="inlineStr">
        <is>
          <t>Base para planificacion</t>
        </is>
      </c>
    </row>
    <row r="3">
      <c r="A3" s="2" t="inlineStr">
        <is>
          <t>P-002</t>
        </is>
      </c>
      <c r="B3" s="2" t="inlineStr">
        <is>
          <t>Ingenieria</t>
        </is>
      </c>
      <c r="C3" s="2" t="inlineStr">
        <is>
          <t>Analisis de protecciones</t>
        </is>
      </c>
      <c r="D3" s="2" t="inlineStr">
        <is>
          <t>Revision de ajustes y coordinacion de protecciones</t>
        </is>
      </c>
      <c r="E3" s="2" t="n">
        <v>1</v>
      </c>
      <c r="F3" s="2" t="inlineStr">
        <is>
          <t>paquete</t>
        </is>
      </c>
      <c r="G3" s="3" t="n">
        <v>115000000</v>
      </c>
      <c r="H3" s="3">
        <f>E3*G3</f>
        <v/>
      </c>
      <c r="I3" s="2" t="inlineStr">
        <is>
          <t>Servicio</t>
        </is>
      </c>
      <c r="J3" s="2" t="inlineStr">
        <is>
          <t>Alta</t>
        </is>
      </c>
      <c r="K3" s="2" t="inlineStr">
        <is>
          <t>Si</t>
        </is>
      </c>
      <c r="L3" s="2" t="inlineStr">
        <is>
          <t>Requiere validacion tecnica</t>
        </is>
      </c>
    </row>
    <row r="4">
      <c r="A4" s="2" t="inlineStr">
        <is>
          <t>P-003</t>
        </is>
      </c>
      <c r="B4" s="2" t="inlineStr">
        <is>
          <t>Equipos</t>
        </is>
      </c>
      <c r="C4" s="2" t="inlineStr">
        <is>
          <t>Modulo de control</t>
        </is>
      </c>
      <c r="D4" s="2" t="inlineStr">
        <is>
          <t>Componente de control y comunicacion</t>
        </is>
      </c>
      <c r="E4" s="2" t="n">
        <v>4</v>
      </c>
      <c r="F4" s="2" t="inlineStr">
        <is>
          <t>unidad</t>
        </is>
      </c>
      <c r="G4" s="3" t="n">
        <v>185000000</v>
      </c>
      <c r="H4" s="3">
        <f>E4*G4</f>
        <v/>
      </c>
      <c r="I4" s="2" t="inlineStr">
        <is>
          <t>Capex</t>
        </is>
      </c>
      <c r="J4" s="2" t="inlineStr">
        <is>
          <t>Alta</t>
        </is>
      </c>
      <c r="K4" s="2" t="inlineStr">
        <is>
          <t>Si</t>
        </is>
      </c>
      <c r="L4" s="2" t="inlineStr">
        <is>
          <t>Sujeto a disponibilidad proveedor</t>
        </is>
      </c>
    </row>
    <row r="5">
      <c r="A5" s="2" t="inlineStr">
        <is>
          <t>P-004</t>
        </is>
      </c>
      <c r="B5" s="2" t="inlineStr">
        <is>
          <t>Equipos</t>
        </is>
      </c>
      <c r="C5" s="2" t="inlineStr">
        <is>
          <t>Protecciones digitales</t>
        </is>
      </c>
      <c r="D5" s="2" t="inlineStr">
        <is>
          <t>Reemplazo de equipos priorizados</t>
        </is>
      </c>
      <c r="E5" s="2" t="n">
        <v>6</v>
      </c>
      <c r="F5" s="2" t="inlineStr">
        <is>
          <t>unidad</t>
        </is>
      </c>
      <c r="G5" s="3" t="n">
        <v>92000000</v>
      </c>
      <c r="H5" s="3">
        <f>E5*G5</f>
        <v/>
      </c>
      <c r="I5" s="2" t="inlineStr">
        <is>
          <t>Capex</t>
        </is>
      </c>
      <c r="J5" s="2" t="inlineStr">
        <is>
          <t>Alta</t>
        </is>
      </c>
      <c r="K5" s="2" t="inlineStr">
        <is>
          <t>Si</t>
        </is>
      </c>
      <c r="L5" s="2" t="inlineStr">
        <is>
          <t>Debe conciliarse con inventario</t>
        </is>
      </c>
    </row>
    <row r="6">
      <c r="A6" s="2" t="inlineStr">
        <is>
          <t>P-005</t>
        </is>
      </c>
      <c r="B6" s="2" t="inlineStr">
        <is>
          <t>Obra y montaje</t>
        </is>
      </c>
      <c r="C6" s="2" t="inlineStr">
        <is>
          <t>Instalacion especializada</t>
        </is>
      </c>
      <c r="D6" s="2" t="inlineStr">
        <is>
          <t>Montaje, pruebas e integracion</t>
        </is>
      </c>
      <c r="E6" s="2" t="n">
        <v>1</v>
      </c>
      <c r="F6" s="2" t="inlineStr">
        <is>
          <t>paquete</t>
        </is>
      </c>
      <c r="G6" s="3" t="n">
        <v>485000000</v>
      </c>
      <c r="H6" s="3">
        <f>E6*G6</f>
        <v/>
      </c>
      <c r="I6" s="2" t="inlineStr">
        <is>
          <t>Servicio</t>
        </is>
      </c>
      <c r="J6" s="2" t="inlineStr">
        <is>
          <t>Alta</t>
        </is>
      </c>
      <c r="K6" s="2" t="inlineStr">
        <is>
          <t>Si</t>
        </is>
      </c>
      <c r="L6" s="2" t="inlineStr">
        <is>
          <t>Depende de ventanas operativas</t>
        </is>
      </c>
    </row>
    <row r="7">
      <c r="A7" s="2" t="inlineStr">
        <is>
          <t>P-006</t>
        </is>
      </c>
      <c r="B7" s="2" t="inlineStr">
        <is>
          <t>SST</t>
        </is>
      </c>
      <c r="C7" s="2" t="inlineStr">
        <is>
          <t>Plan de seguridad</t>
        </is>
      </c>
      <c r="D7" s="2" t="inlineStr">
        <is>
          <t>EPP, permisos, capacitaciones y supervision</t>
        </is>
      </c>
      <c r="E7" s="2" t="n">
        <v>1</v>
      </c>
      <c r="F7" s="2" t="inlineStr">
        <is>
          <t>paquete</t>
        </is>
      </c>
      <c r="G7" s="3" t="n">
        <v>86000000</v>
      </c>
      <c r="H7" s="3">
        <f>E7*G7</f>
        <v/>
      </c>
      <c r="I7" s="2" t="inlineStr">
        <is>
          <t>Servicio</t>
        </is>
      </c>
      <c r="J7" s="2" t="inlineStr">
        <is>
          <t>Alta</t>
        </is>
      </c>
      <c r="K7" s="2" t="inlineStr">
        <is>
          <t>No</t>
        </is>
      </c>
      <c r="L7" s="2" t="inlineStr">
        <is>
          <t>No sustituye aprobaciones SST</t>
        </is>
      </c>
    </row>
    <row r="8">
      <c r="A8" s="2" t="inlineStr">
        <is>
          <t>P-007</t>
        </is>
      </c>
      <c r="B8" s="2" t="inlineStr">
        <is>
          <t>Ambiental</t>
        </is>
      </c>
      <c r="C8" s="2" t="inlineStr">
        <is>
          <t>Gestion ambiental</t>
        </is>
      </c>
      <c r="D8" s="2" t="inlineStr">
        <is>
          <t>Manejo de residuos y controles preventivos</t>
        </is>
      </c>
      <c r="E8" s="2" t="n">
        <v>1</v>
      </c>
      <c r="F8" s="2" t="inlineStr">
        <is>
          <t>paquete</t>
        </is>
      </c>
      <c r="G8" s="3" t="n">
        <v>62000000</v>
      </c>
      <c r="H8" s="3">
        <f>E8*G8</f>
        <v/>
      </c>
      <c r="I8" s="2" t="inlineStr">
        <is>
          <t>Servicio</t>
        </is>
      </c>
      <c r="J8" s="2" t="inlineStr">
        <is>
          <t>Media</t>
        </is>
      </c>
      <c r="K8" s="2" t="inlineStr">
        <is>
          <t>No</t>
        </is>
      </c>
      <c r="L8" s="2" t="inlineStr">
        <is>
          <t>Requiere registro de evidencias</t>
        </is>
      </c>
    </row>
    <row r="9">
      <c r="A9" s="2" t="inlineStr">
        <is>
          <t>P-008</t>
        </is>
      </c>
      <c r="B9" s="2" t="inlineStr">
        <is>
          <t>Comunicaciones</t>
        </is>
      </c>
      <c r="C9" s="2" t="inlineStr">
        <is>
          <t>Comunicacion a comunidad</t>
        </is>
      </c>
      <c r="D9" s="2" t="inlineStr">
        <is>
          <t>Piezas, mensajes, canal de atencion y seguimiento</t>
        </is>
      </c>
      <c r="E9" s="2" t="n">
        <v>1</v>
      </c>
      <c r="F9" s="2" t="inlineStr">
        <is>
          <t>paquete</t>
        </is>
      </c>
      <c r="G9" s="3" t="n">
        <v>38000000</v>
      </c>
      <c r="H9" s="3">
        <f>E9*G9</f>
        <v/>
      </c>
      <c r="I9" s="2" t="inlineStr">
        <is>
          <t>Servicio</t>
        </is>
      </c>
      <c r="J9" s="2" t="inlineStr">
        <is>
          <t>Media</t>
        </is>
      </c>
      <c r="K9" s="2" t="inlineStr">
        <is>
          <t>No</t>
        </is>
      </c>
      <c r="L9" s="2" t="inlineStr">
        <is>
          <t>Ajustar con comunicaciones</t>
        </is>
      </c>
    </row>
    <row r="10">
      <c r="A10" s="2" t="inlineStr">
        <is>
          <t>P-009</t>
        </is>
      </c>
      <c r="B10" s="2" t="inlineStr">
        <is>
          <t>Gestion de proyecto</t>
        </is>
      </c>
      <c r="C10" s="2" t="inlineStr">
        <is>
          <t>PMO y seguimiento</t>
        </is>
      </c>
      <c r="D10" s="2" t="inlineStr">
        <is>
          <t>Planeacion, control, informes y comite</t>
        </is>
      </c>
      <c r="E10" s="2" t="n">
        <v>8</v>
      </c>
      <c r="F10" s="2" t="inlineStr">
        <is>
          <t>mes</t>
        </is>
      </c>
      <c r="G10" s="3" t="n">
        <v>27000000</v>
      </c>
      <c r="H10" s="3">
        <f>E10*G10</f>
        <v/>
      </c>
      <c r="I10" s="2" t="inlineStr">
        <is>
          <t>Servicio</t>
        </is>
      </c>
      <c r="J10" s="2" t="inlineStr">
        <is>
          <t>Media</t>
        </is>
      </c>
      <c r="K10" s="2" t="inlineStr">
        <is>
          <t>No</t>
        </is>
      </c>
      <c r="L10" s="2" t="inlineStr">
        <is>
          <t>Duracion estimada</t>
        </is>
      </c>
    </row>
    <row r="11">
      <c r="A11" s="2" t="inlineStr">
        <is>
          <t>P-010</t>
        </is>
      </c>
      <c r="B11" s="2" t="inlineStr">
        <is>
          <t>Contingencia</t>
        </is>
      </c>
      <c r="C11" s="2" t="inlineStr">
        <is>
          <t>Reserva preliminar</t>
        </is>
      </c>
      <c r="D11" s="2" t="inlineStr">
        <is>
          <t>Reserva para variaciones del alcance validado</t>
        </is>
      </c>
      <c r="E11" s="2" t="n">
        <v>1</v>
      </c>
      <c r="F11" s="2" t="inlineStr">
        <is>
          <t>paquete</t>
        </is>
      </c>
      <c r="G11" s="3" t="n">
        <v>514000000</v>
      </c>
      <c r="H11" s="3">
        <f>E11*G11</f>
        <v/>
      </c>
      <c r="I11" s="2" t="inlineStr">
        <is>
          <t>Reserva</t>
        </is>
      </c>
      <c r="J11" s="2" t="inlineStr">
        <is>
          <t>Alta</t>
        </is>
      </c>
      <c r="K11" s="2" t="inlineStr">
        <is>
          <t>Si</t>
        </is>
      </c>
      <c r="L11" s="2" t="inlineStr">
        <is>
          <t>Uso requiere autorizacion</t>
        </is>
      </c>
    </row>
    <row r="12">
      <c r="A12" s="4" t="inlineStr">
        <is>
          <t>TOTAL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3">
        <f>SUM(H2:H11)</f>
        <v/>
      </c>
      <c r="I12" s="2" t="inlineStr"/>
      <c r="J12" s="2" t="inlineStr"/>
      <c r="K12" s="2" t="inlineStr"/>
      <c r="L12" s="2" t="inlineStr"/>
    </row>
  </sheetData>
  <conditionalFormatting sqref="J2:J11">
    <cfRule type="expression" priority="1" dxfId="0">
      <formula>J2="Alta"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5" customWidth="1" min="4" max="4"/>
    <col width="15" customWidth="1" min="5" max="5"/>
    <col width="13" customWidth="1" min="6" max="6"/>
    <col width="15" customWidth="1" min="7" max="7"/>
    <col width="20" customWidth="1" min="8" max="8"/>
    <col width="14" customWidth="1" min="9" max="9"/>
    <col width="12" customWidth="1" min="10" max="10"/>
    <col width="35" customWidth="1" min="11" max="11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Actividad</t>
        </is>
      </c>
      <c r="D1" s="1" t="inlineStr">
        <is>
          <t>Inicio estimado</t>
        </is>
      </c>
      <c r="E1" s="1" t="inlineStr">
        <is>
          <t>Fin estimado</t>
        </is>
      </c>
      <c r="F1" s="1" t="inlineStr">
        <is>
          <t>Duracion dias</t>
        </is>
      </c>
      <c r="G1" s="1" t="inlineStr">
        <is>
          <t>Dependencia</t>
        </is>
      </c>
      <c r="H1" s="1" t="inlineStr">
        <is>
          <t>Responsable rol</t>
        </is>
      </c>
      <c r="I1" s="1" t="inlineStr">
        <is>
          <t>Estado</t>
        </is>
      </c>
      <c r="J1" s="1" t="inlineStr">
        <is>
          <t>Criticidad</t>
        </is>
      </c>
      <c r="K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Inicio</t>
        </is>
      </c>
      <c r="C2" s="2" t="inlineStr">
        <is>
          <t>Aprobacion de inicio</t>
        </is>
      </c>
      <c r="D2" s="5" t="inlineStr">
        <is>
          <t>2026-08-18</t>
        </is>
      </c>
      <c r="E2" s="5" t="inlineStr">
        <is>
          <t>2026-08-22</t>
        </is>
      </c>
      <c r="F2" s="2">
        <f>E2-D2+1</f>
        <v/>
      </c>
      <c r="G2" s="2" t="inlineStr">
        <is>
          <t>Comite directivo</t>
        </is>
      </c>
      <c r="H2" s="2" t="inlineStr">
        <is>
          <t>Patrocinador</t>
        </is>
      </c>
      <c r="I2" s="2" t="inlineStr">
        <is>
          <t>Pendiente</t>
        </is>
      </c>
      <c r="J2" s="2" t="inlineStr">
        <is>
          <t>Alta</t>
        </is>
      </c>
      <c r="K2" s="2" t="inlineStr">
        <is>
          <t>Fecha sujeta a agenda</t>
        </is>
      </c>
    </row>
    <row r="3">
      <c r="A3" s="2" t="inlineStr">
        <is>
          <t>C-002</t>
        </is>
      </c>
      <c r="B3" s="2" t="inlineStr">
        <is>
          <t>Diagnostico</t>
        </is>
      </c>
      <c r="C3" s="2" t="inlineStr">
        <is>
          <t>Levantamiento en sitio</t>
        </is>
      </c>
      <c r="D3" s="5" t="inlineStr">
        <is>
          <t>2026-08-25</t>
        </is>
      </c>
      <c r="E3" s="5" t="inlineStr">
        <is>
          <t>2026-09-12</t>
        </is>
      </c>
      <c r="F3" s="2">
        <f>E3-D3+1</f>
        <v/>
      </c>
      <c r="G3" s="2" t="inlineStr">
        <is>
          <t>C-001</t>
        </is>
      </c>
      <c r="H3" s="2" t="inlineStr">
        <is>
          <t>Equipo tecnico</t>
        </is>
      </c>
      <c r="I3" s="2" t="inlineStr">
        <is>
          <t>Pendiente</t>
        </is>
      </c>
      <c r="J3" s="2" t="inlineStr">
        <is>
          <t>Alta</t>
        </is>
      </c>
      <c r="K3" s="2" t="inlineStr">
        <is>
          <t>Requiere acceso coordinado</t>
        </is>
      </c>
    </row>
    <row r="4">
      <c r="A4" s="2" t="inlineStr">
        <is>
          <t>C-003</t>
        </is>
      </c>
      <c r="B4" s="2" t="inlineStr">
        <is>
          <t>Diagnostico</t>
        </is>
      </c>
      <c r="C4" s="2" t="inlineStr">
        <is>
          <t>Revision documental e inventario</t>
        </is>
      </c>
      <c r="D4" s="5" t="inlineStr">
        <is>
          <t>2026-08-25</t>
        </is>
      </c>
      <c r="E4" s="5" t="inlineStr">
        <is>
          <t>2026-09-18</t>
        </is>
      </c>
      <c r="F4" s="2">
        <f>E4-D4+1</f>
        <v/>
      </c>
      <c r="G4" s="2" t="inlineStr">
        <is>
          <t>C-001</t>
        </is>
      </c>
      <c r="H4" s="2" t="inlineStr">
        <is>
          <t>Operacion</t>
        </is>
      </c>
      <c r="I4" s="2" t="inlineStr">
        <is>
          <t>Pendiente</t>
        </is>
      </c>
      <c r="J4" s="2" t="inlineStr">
        <is>
          <t>Media</t>
        </is>
      </c>
      <c r="K4" s="2" t="inlineStr">
        <is>
          <t>Puede avanzar en paralelo</t>
        </is>
      </c>
    </row>
    <row r="5">
      <c r="A5" s="2" t="inlineStr">
        <is>
          <t>C-004</t>
        </is>
      </c>
      <c r="B5" s="2" t="inlineStr">
        <is>
          <t>Ingenieria</t>
        </is>
      </c>
      <c r="C5" s="2" t="inlineStr">
        <is>
          <t>Analisis de protecciones</t>
        </is>
      </c>
      <c r="D5" s="5" t="inlineStr">
        <is>
          <t>2026-09-15</t>
        </is>
      </c>
      <c r="E5" s="5" t="inlineStr">
        <is>
          <t>2026-10-10</t>
        </is>
      </c>
      <c r="F5" s="2">
        <f>E5-D5+1</f>
        <v/>
      </c>
      <c r="G5" s="2" t="inlineStr">
        <is>
          <t>C-002</t>
        </is>
      </c>
      <c r="H5" s="2" t="inlineStr">
        <is>
          <t>Ingenieria</t>
        </is>
      </c>
      <c r="I5" s="2" t="inlineStr">
        <is>
          <t>Pendiente</t>
        </is>
      </c>
      <c r="J5" s="2" t="inlineStr">
        <is>
          <t>Alta</t>
        </is>
      </c>
      <c r="K5" s="2" t="inlineStr">
        <is>
          <t>Depende de mediciones</t>
        </is>
      </c>
    </row>
    <row r="6">
      <c r="A6" s="2" t="inlineStr">
        <is>
          <t>C-005</t>
        </is>
      </c>
      <c r="B6" s="2" t="inlineStr">
        <is>
          <t>Compras</t>
        </is>
      </c>
      <c r="C6" s="2" t="inlineStr">
        <is>
          <t>Confirmacion disponibilidad equipos</t>
        </is>
      </c>
      <c r="D6" s="5" t="inlineStr">
        <is>
          <t>2026-09-22</t>
        </is>
      </c>
      <c r="E6" s="5" t="inlineStr">
        <is>
          <t>2026-10-24</t>
        </is>
      </c>
      <c r="F6" s="2">
        <f>E6-D6+1</f>
        <v/>
      </c>
      <c r="G6" s="2" t="inlineStr">
        <is>
          <t>C-004</t>
        </is>
      </c>
      <c r="H6" s="2" t="inlineStr">
        <is>
          <t>Abastecimiento</t>
        </is>
      </c>
      <c r="I6" s="2" t="inlineStr">
        <is>
          <t>Pendiente</t>
        </is>
      </c>
      <c r="J6" s="2" t="inlineStr">
        <is>
          <t>Alta</t>
        </is>
      </c>
      <c r="K6" s="2" t="inlineStr">
        <is>
          <t>Riesgo por tiempos proveedor</t>
        </is>
      </c>
    </row>
    <row r="7">
      <c r="A7" s="2" t="inlineStr">
        <is>
          <t>C-006</t>
        </is>
      </c>
      <c r="B7" s="2" t="inlineStr">
        <is>
          <t>Comunicaciones</t>
        </is>
      </c>
      <c r="C7" s="2" t="inlineStr">
        <is>
          <t>Plan comunidad y usuarios</t>
        </is>
      </c>
      <c r="D7" s="5" t="inlineStr">
        <is>
          <t>2026-10-01</t>
        </is>
      </c>
      <c r="E7" s="5" t="inlineStr">
        <is>
          <t>2026-10-20</t>
        </is>
      </c>
      <c r="F7" s="2">
        <f>E7-D7+1</f>
        <v/>
      </c>
      <c r="G7" s="2" t="inlineStr">
        <is>
          <t>C-001</t>
        </is>
      </c>
      <c r="H7" s="2" t="inlineStr">
        <is>
          <t>Comunicaciones</t>
        </is>
      </c>
      <c r="I7" s="2" t="inlineStr">
        <is>
          <t>Pendiente</t>
        </is>
      </c>
      <c r="J7" s="2" t="inlineStr">
        <is>
          <t>Media</t>
        </is>
      </c>
      <c r="K7" s="2" t="inlineStr">
        <is>
          <t>Debe validarse con operaciones</t>
        </is>
      </c>
    </row>
    <row r="8">
      <c r="A8" s="2" t="inlineStr">
        <is>
          <t>C-007</t>
        </is>
      </c>
      <c r="B8" s="2" t="inlineStr">
        <is>
          <t>Ejecucion</t>
        </is>
      </c>
      <c r="C8" s="2" t="inlineStr">
        <is>
          <t>Montaje e integracion</t>
        </is>
      </c>
      <c r="D8" s="5" t="inlineStr">
        <is>
          <t>2026-11-03</t>
        </is>
      </c>
      <c r="E8" s="5" t="inlineStr">
        <is>
          <t>2026-12-15</t>
        </is>
      </c>
      <c r="F8" s="2">
        <f>E8-D8+1</f>
        <v/>
      </c>
      <c r="G8" s="2" t="inlineStr">
        <is>
          <t>C-005</t>
        </is>
      </c>
      <c r="H8" s="2" t="inlineStr">
        <is>
          <t>Contratista</t>
        </is>
      </c>
      <c r="I8" s="2" t="inlineStr">
        <is>
          <t>Pendiente</t>
        </is>
      </c>
      <c r="J8" s="2" t="inlineStr">
        <is>
          <t>Alta</t>
        </is>
      </c>
      <c r="K8" s="2" t="inlineStr">
        <is>
          <t>Ventanas de intervencion por definir</t>
        </is>
      </c>
    </row>
    <row r="9">
      <c r="A9" s="2" t="inlineStr">
        <is>
          <t>C-008</t>
        </is>
      </c>
      <c r="B9" s="2" t="inlineStr">
        <is>
          <t>Pruebas</t>
        </is>
      </c>
      <c r="C9" s="2" t="inlineStr">
        <is>
          <t>Pruebas funcionales</t>
        </is>
      </c>
      <c r="D9" s="5" t="inlineStr">
        <is>
          <t>2026-12-16</t>
        </is>
      </c>
      <c r="E9" s="5" t="inlineStr">
        <is>
          <t>2027-01-12</t>
        </is>
      </c>
      <c r="F9" s="2">
        <f>E9-D9+1</f>
        <v/>
      </c>
      <c r="G9" s="2" t="inlineStr">
        <is>
          <t>C-007</t>
        </is>
      </c>
      <c r="H9" s="2" t="inlineStr">
        <is>
          <t>Ingenieria</t>
        </is>
      </c>
      <c r="I9" s="2" t="inlineStr">
        <is>
          <t>Pendiente</t>
        </is>
      </c>
      <c r="J9" s="2" t="inlineStr">
        <is>
          <t>Alta</t>
        </is>
      </c>
      <c r="K9" s="2" t="inlineStr">
        <is>
          <t>Incluye pruebas de comunicacion</t>
        </is>
      </c>
    </row>
    <row r="10">
      <c r="A10" s="2" t="inlineStr">
        <is>
          <t>C-009</t>
        </is>
      </c>
      <c r="B10" s="2" t="inlineStr">
        <is>
          <t>Cierre</t>
        </is>
      </c>
      <c r="C10" s="2" t="inlineStr">
        <is>
          <t>Documentacion y lecciones aprendidas</t>
        </is>
      </c>
      <c r="D10" s="5" t="inlineStr">
        <is>
          <t>2027-01-15</t>
        </is>
      </c>
      <c r="E10" s="5" t="inlineStr">
        <is>
          <t>2027-02-05</t>
        </is>
      </c>
      <c r="F10" s="2">
        <f>E10-D10+1</f>
        <v/>
      </c>
      <c r="G10" s="2" t="inlineStr">
        <is>
          <t>C-008</t>
        </is>
      </c>
      <c r="H10" s="2" t="inlineStr">
        <is>
          <t>PMO</t>
        </is>
      </c>
      <c r="I10" s="2" t="inlineStr">
        <is>
          <t>Pendiente</t>
        </is>
      </c>
      <c r="J10" s="2" t="inlineStr">
        <is>
          <t>Media</t>
        </is>
      </c>
      <c r="K10" s="2" t="inlineStr">
        <is>
          <t>Cierre documental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Resumen del presupuesto y cronograma</t>
        </is>
      </c>
      <c r="B1" s="1" t="n"/>
    </row>
    <row r="2">
      <c r="A2" s="2" t="n"/>
      <c r="B2" s="2" t="n"/>
    </row>
    <row r="3">
      <c r="A3" s="2" t="inlineStr">
        <is>
          <t>Presupuesto total</t>
        </is>
      </c>
      <c r="B3" s="3">
        <f>Presupuesto!H12</f>
        <v/>
      </c>
    </row>
    <row r="4">
      <c r="A4" s="2" t="inlineStr">
        <is>
          <t>Partidas con criticidad alta</t>
        </is>
      </c>
      <c r="B4" s="2">
        <f>COUNTIF(Presupuesto!J2:J11,"Alta")</f>
        <v/>
      </c>
    </row>
    <row r="5">
      <c r="A5" s="2" t="inlineStr">
        <is>
          <t>Actividades críticas</t>
        </is>
      </c>
      <c r="B5" s="2">
        <f>COUNTIF(Cronograma!J2:J10,"Alta")</f>
        <v/>
      </c>
    </row>
    <row r="6">
      <c r="A6" s="2" t="inlineStr">
        <is>
          <t>Fecha inicio estimada</t>
        </is>
      </c>
      <c r="B6" s="5">
        <f>MIN(Cronograma!D2:D10)</f>
        <v/>
      </c>
    </row>
    <row r="7">
      <c r="A7" s="2" t="inlineStr">
        <is>
          <t>Fecha fin estimada</t>
        </is>
      </c>
      <c r="B7" s="5">
        <f>MAX(Cronograma!E2:E10)</f>
        <v/>
      </c>
    </row>
    <row r="8">
      <c r="A8" s="2" t="n"/>
      <c r="B8" s="2" t="n"/>
    </row>
    <row r="9">
      <c r="A9" s="2" t="inlineStr">
        <is>
          <t>Categorias</t>
        </is>
      </c>
      <c r="B9" s="2" t="inlineStr">
        <is>
          <t>Costo</t>
        </is>
      </c>
    </row>
    <row r="10">
      <c r="A10" s="2" t="inlineStr">
        <is>
          <t>Diagnostico</t>
        </is>
      </c>
      <c r="B10" s="3" t="n">
        <v>42000000</v>
      </c>
    </row>
    <row r="11">
      <c r="A11" s="2" t="inlineStr">
        <is>
          <t>Ingenieria</t>
        </is>
      </c>
      <c r="B11" s="3" t="n">
        <v>115000000</v>
      </c>
    </row>
    <row r="12">
      <c r="A12" s="2" t="inlineStr">
        <is>
          <t>Equipos</t>
        </is>
      </c>
      <c r="B12" s="3" t="n">
        <v>1292000000</v>
      </c>
    </row>
    <row r="13">
      <c r="A13" s="2" t="inlineStr">
        <is>
          <t>Obra y montaje</t>
        </is>
      </c>
      <c r="B13" s="3" t="n">
        <v>485000000</v>
      </c>
    </row>
    <row r="14">
      <c r="A14" s="2" t="inlineStr">
        <is>
          <t>SST</t>
        </is>
      </c>
      <c r="B14" s="3" t="n">
        <v>86000000</v>
      </c>
    </row>
    <row r="15">
      <c r="A15" s="2" t="inlineStr">
        <is>
          <t>Ambiental</t>
        </is>
      </c>
      <c r="B15" s="3" t="n">
        <v>62000000</v>
      </c>
    </row>
    <row r="16">
      <c r="A16" s="2" t="inlineStr">
        <is>
          <t>Comunicaciones</t>
        </is>
      </c>
      <c r="B16" s="3" t="n">
        <v>38000000</v>
      </c>
    </row>
    <row r="17">
      <c r="A17" s="2" t="inlineStr">
        <is>
          <t>Gestion de proyecto</t>
        </is>
      </c>
      <c r="B17" s="3" t="n">
        <v>216000000</v>
      </c>
    </row>
    <row r="18">
      <c r="A18" s="2" t="inlineStr">
        <is>
          <t>Contingencia</t>
        </is>
      </c>
      <c r="B18" s="3" t="n">
        <v>514000000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2026-08-05T02:39:51Z</dcterms:created>
  <dcterms:modified xmlns:dcterms="http://purl.org/dc/terms/" xmlns:xsi="http://www.w3.org/2001/XMLSchema-instance" xsi:type="dcterms:W3CDTF">2026-08-05T02:39:51Z</dcterms:modified>
</cp:coreProperties>
</file>